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Papelería" sheetId="1" r:id="rId5"/>
    <sheet state="visible" name="Informe Ventas Marzo" sheetId="2" r:id="rId6"/>
    <sheet state="visible" name="Factura" sheetId="3" r:id="rId7"/>
  </sheets>
  <definedNames/>
  <calcPr/>
</workbook>
</file>

<file path=xl/sharedStrings.xml><?xml version="1.0" encoding="utf-8"?>
<sst xmlns="http://schemas.openxmlformats.org/spreadsheetml/2006/main" count="91" uniqueCount="82">
  <si>
    <r>
      <rPr>
        <rFont val="Berkshire Swash"/>
        <b/>
        <color rgb="FFFF0000"/>
        <sz val="30.0"/>
      </rPr>
      <t>PAPELERÍA</t>
    </r>
    <r>
      <rPr>
        <rFont val="Inconsolata"/>
        <b/>
        <color theme="1"/>
        <sz val="30.0"/>
      </rPr>
      <t xml:space="preserve"> </t>
    </r>
    <r>
      <rPr>
        <rFont val="Monoton"/>
        <b val="0"/>
        <color rgb="FFFF0000"/>
        <sz val="30.0"/>
      </rPr>
      <t>OPERA</t>
    </r>
  </si>
  <si>
    <t>ARTICULO</t>
  </si>
  <si>
    <t>CANTIDAD</t>
  </si>
  <si>
    <t>PRECIO</t>
  </si>
  <si>
    <t>SUBTOTAL</t>
  </si>
  <si>
    <t>VALOR IVA</t>
  </si>
  <si>
    <t>TOTAL</t>
  </si>
  <si>
    <t>Carpeta Plastificada</t>
  </si>
  <si>
    <t>Cuaderno Rayado</t>
  </si>
  <si>
    <t>Lápiz</t>
  </si>
  <si>
    <t>Bloc Cuadriculado</t>
  </si>
  <si>
    <t>Borrador Natas</t>
  </si>
  <si>
    <t>Regla</t>
  </si>
  <si>
    <t>Escuada</t>
  </si>
  <si>
    <t>Esfero</t>
  </si>
  <si>
    <t>Carpeta Yute</t>
  </si>
  <si>
    <t>Maleta Totto</t>
  </si>
  <si>
    <t>Total</t>
  </si>
  <si>
    <t>Iva</t>
  </si>
  <si>
    <r>
      <rPr>
        <rFont val="Berkshire Swash"/>
        <b/>
        <color rgb="FFFF0000"/>
        <sz val="30.0"/>
      </rPr>
      <t>EL TEC</t>
    </r>
    <r>
      <rPr>
        <rFont val="Berkshire Swash"/>
        <b/>
        <color rgb="FF3C78D8"/>
        <sz val="30.0"/>
      </rPr>
      <t>NÓ</t>
    </r>
    <r>
      <rPr>
        <rFont val="Berkshire Swash"/>
        <b/>
        <color rgb="FFFF0000"/>
        <sz val="30.0"/>
      </rPr>
      <t>LO</t>
    </r>
    <r>
      <rPr>
        <rFont val="Berkshire Swash"/>
        <b/>
        <color rgb="FFF1C232"/>
        <sz val="30.0"/>
      </rPr>
      <t>GO</t>
    </r>
  </si>
  <si>
    <t>INFORME DE VENTAS</t>
  </si>
  <si>
    <t>IVA</t>
  </si>
  <si>
    <t>MARZO DE 2025</t>
  </si>
  <si>
    <t>DTO</t>
  </si>
  <si>
    <t>No.</t>
  </si>
  <si>
    <t>FECHA</t>
  </si>
  <si>
    <t>CÓDIGO</t>
  </si>
  <si>
    <t>ARTÍCULO</t>
  </si>
  <si>
    <t>VALOR UNITARIO</t>
  </si>
  <si>
    <t>VALOR TOTAL</t>
  </si>
  <si>
    <t>CD WORD</t>
  </si>
  <si>
    <t>CD EXCEL</t>
  </si>
  <si>
    <t>CD POWER P.</t>
  </si>
  <si>
    <t>CD ACCESS</t>
  </si>
  <si>
    <t>CD WINDOWS</t>
  </si>
  <si>
    <t>CD OFFICE</t>
  </si>
  <si>
    <t>CD REDES</t>
  </si>
  <si>
    <t>CD HTML</t>
  </si>
  <si>
    <t xml:space="preserve"> </t>
  </si>
  <si>
    <t>Nexus Digitalis S.A.S</t>
  </si>
  <si>
    <t>R.U.T.: 901.555.333−8</t>
  </si>
  <si>
    <t>Conectando el futuro, digitalizando tu presente.</t>
  </si>
  <si>
    <t>Envío, recepción y mantenimiento de todo tipo de electrónicos</t>
  </si>
  <si>
    <t>FACTURA</t>
  </si>
  <si>
    <t>Distribución de perifericos plus</t>
  </si>
  <si>
    <t>Calle Ficticia #45A - 20, Edificio Innova-Tech, Piso 7, Bogotá, D.C.</t>
  </si>
  <si>
    <t>N°999666</t>
  </si>
  <si>
    <t>Teléfono: (+57)601555−0123</t>
  </si>
  <si>
    <r>
      <rPr>
        <b/>
        <sz val="7.0"/>
      </rPr>
      <t xml:space="preserve">contacto@nexusdigitalis.com </t>
    </r>
    <r>
      <rPr>
        <b/>
        <color rgb="FF1155CC"/>
        <sz val="7.0"/>
        <u/>
      </rPr>
      <t>www.nexusdigitalis.com</t>
    </r>
  </si>
  <si>
    <t>MIN. COMERCIO</t>
  </si>
  <si>
    <t>Ciudad</t>
  </si>
  <si>
    <t>de</t>
  </si>
  <si>
    <t>Señor(es)</t>
  </si>
  <si>
    <t>R.U.T:</t>
  </si>
  <si>
    <t>Direccion:</t>
  </si>
  <si>
    <t>Municipio:</t>
  </si>
  <si>
    <t>Telefono:</t>
  </si>
  <si>
    <t>Ciudad:</t>
  </si>
  <si>
    <t>O. Comprados:</t>
  </si>
  <si>
    <t>Condiciones de Venta:</t>
  </si>
  <si>
    <t>Ch.Dia:</t>
  </si>
  <si>
    <t>Giua N°:</t>
  </si>
  <si>
    <t>Giro:</t>
  </si>
  <si>
    <t>N°Cheque:</t>
  </si>
  <si>
    <t>Banco:</t>
  </si>
  <si>
    <t>Vendedor:</t>
  </si>
  <si>
    <t>Por lo siguiente</t>
  </si>
  <si>
    <t>Favor extender documento a la orden de Nexus Digitalis S.A.S</t>
  </si>
  <si>
    <t>DESCRIPCION</t>
  </si>
  <si>
    <t>P.UNITARIO</t>
  </si>
  <si>
    <t>Mouse</t>
  </si>
  <si>
    <t>Memoria</t>
  </si>
  <si>
    <t>Teclados</t>
  </si>
  <si>
    <t>Monitor</t>
  </si>
  <si>
    <t>persona que retira</t>
  </si>
  <si>
    <t>Nombre:</t>
  </si>
  <si>
    <t>Neto</t>
  </si>
  <si>
    <t>R.U.T.:</t>
  </si>
  <si>
    <t>Firma:</t>
  </si>
  <si>
    <t>I.V.A</t>
  </si>
  <si>
    <t>CANCELADO</t>
  </si>
  <si>
    <t>de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</si>
</sst>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"/>
    <numFmt numFmtId="165" formatCode="d-mmm-yyyy"/>
  </numFmts>
  <fonts count="25">
    <font>
      <sz val="10.0"/>
      <color rgb="FF000000"/>
      <name val="Arial"/>
      <scheme val="minor"/>
    </font>
    <font>
      <b/>
      <sz val="30.0"/>
      <color theme="1"/>
      <name val="Inconsolata"/>
    </font>
    <font/>
    <font>
      <b/>
      <color theme="1"/>
      <name val="Inconsolata"/>
    </font>
    <font>
      <color theme="1"/>
      <name val="Inconsolata"/>
    </font>
    <font>
      <b/>
      <u/>
      <color theme="1"/>
      <name val="Inconsolata"/>
    </font>
    <font>
      <b/>
      <u/>
      <color theme="1"/>
      <name val="Inconsolata"/>
    </font>
    <font>
      <b/>
      <color rgb="FFFF0000"/>
      <name val="Inconsolata"/>
    </font>
    <font>
      <b/>
      <sz val="23.0"/>
      <color rgb="FF3C78D8"/>
      <name val="Inconsolata"/>
    </font>
    <font>
      <color theme="1"/>
      <name val="Arial"/>
      <scheme val="minor"/>
    </font>
    <font>
      <b/>
      <sz val="20.0"/>
      <color rgb="FFCC0000"/>
      <name val="Inconsolata"/>
    </font>
    <font>
      <sz val="10.0"/>
      <color theme="1"/>
      <name val="Arial"/>
      <scheme val="minor"/>
    </font>
    <font>
      <b/>
      <sz val="15.0"/>
      <color theme="1"/>
      <name val="Inconsolata"/>
    </font>
    <font>
      <sz val="15.0"/>
      <color theme="1"/>
      <name val="Caveat"/>
    </font>
    <font>
      <sz val="11.0"/>
      <color theme="1"/>
      <name val="Caveat"/>
    </font>
    <font>
      <sz val="14.0"/>
      <color theme="1"/>
      <name val="Caveat"/>
    </font>
    <font>
      <b/>
      <sz val="8.0"/>
      <color theme="1"/>
      <name val="Inconsolata"/>
    </font>
    <font>
      <b/>
      <sz val="7.0"/>
      <color theme="1"/>
      <name val="Arial"/>
      <scheme val="minor"/>
    </font>
    <font>
      <b/>
      <u/>
      <sz val="7.0"/>
      <color rgb="FF0000FF"/>
    </font>
    <font>
      <b/>
      <sz val="10.0"/>
      <color rgb="FFCC0000"/>
      <name val="Inconsolata"/>
    </font>
    <font>
      <color rgb="FFFFFFFF"/>
      <name val="Inconsolata"/>
    </font>
    <font>
      <b/>
      <sz val="12.0"/>
      <color theme="1"/>
      <name val="Inconsolata"/>
    </font>
    <font>
      <sz val="16.0"/>
      <color theme="1"/>
      <name val="Inconsolata"/>
    </font>
    <font>
      <b/>
      <color theme="1"/>
      <name val="Arial"/>
      <scheme val="minor"/>
    </font>
    <font>
      <b/>
      <sz val="14.0"/>
      <color theme="1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</fills>
  <borders count="9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9900"/>
      </left>
      <right style="thick">
        <color rgb="FFFF9900"/>
      </right>
      <top style="thick">
        <color rgb="FFFF9900"/>
      </top>
      <bottom style="thick">
        <color rgb="FFFF99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CC0000"/>
      </left>
      <top style="thick">
        <color rgb="FFCC0000"/>
      </top>
      <bottom style="thin">
        <color rgb="FFFFFFFF"/>
      </bottom>
    </border>
    <border>
      <top style="thick">
        <color rgb="FFCC0000"/>
      </top>
      <bottom style="thin">
        <color rgb="FFFFFFFF"/>
      </bottom>
    </border>
    <border>
      <right style="thick">
        <color rgb="FFCC0000"/>
      </right>
      <top style="thick">
        <color rgb="FFCC0000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ck">
        <color rgb="FFCC0000"/>
      </left>
      <top style="thin">
        <color rgb="FFFFFFFF"/>
      </top>
    </border>
    <border>
      <top style="thin">
        <color rgb="FFFFFFFF"/>
      </top>
    </border>
    <border>
      <right style="thick">
        <color rgb="FFCC0000"/>
      </right>
      <top style="thin">
        <color rgb="FFFFFFFF"/>
      </top>
    </border>
    <border>
      <right style="thin">
        <color rgb="FFFFFFFF"/>
      </right>
    </border>
    <border>
      <left style="thick">
        <color rgb="FFCC0000"/>
      </left>
      <bottom style="thin">
        <color rgb="FFFFFFFF"/>
      </bottom>
    </border>
    <border>
      <bottom style="thin">
        <color rgb="FFFFFFFF"/>
      </bottom>
    </border>
    <border>
      <right style="thick">
        <color rgb="FFCC0000"/>
      </right>
      <bottom style="thin">
        <color rgb="FFFFFFFF"/>
      </bottom>
    </border>
    <border>
      <left style="thick">
        <color rgb="FFCC0000"/>
      </left>
      <top style="thin">
        <color rgb="FFFFFFFF"/>
      </top>
      <bottom style="thin">
        <color rgb="FFFFFFFF"/>
      </bottom>
    </border>
    <border>
      <right style="thick">
        <color rgb="FFCC0000"/>
      </right>
      <top style="thin">
        <color rgb="FFFFFFFF"/>
      </top>
      <bottom style="thin">
        <color rgb="FFFFFFFF"/>
      </bottom>
    </border>
    <border>
      <left style="thick">
        <color rgb="FFCC0000"/>
      </left>
      <bottom style="thick">
        <color rgb="FFCC0000"/>
      </bottom>
    </border>
    <border>
      <bottom style="thick">
        <color rgb="FFCC0000"/>
      </bottom>
    </border>
    <border>
      <right style="thick">
        <color rgb="FFCC0000"/>
      </right>
      <bottom style="thick">
        <color rgb="FFCC0000"/>
      </bottom>
    </border>
    <border>
      <left style="thick">
        <color rgb="FF3C78D8"/>
      </left>
      <top style="thick">
        <color rgb="FF3C78D8"/>
      </top>
      <bottom style="thin">
        <color rgb="FFFFFFFF"/>
      </bottom>
    </border>
    <border>
      <top style="thick">
        <color rgb="FF3C78D8"/>
      </top>
      <bottom style="thin">
        <color rgb="FFFFFFFF"/>
      </bottom>
    </border>
    <border>
      <right style="thick">
        <color rgb="FF3C78D8"/>
      </right>
      <top style="thick">
        <color rgb="FF3C78D8"/>
      </top>
      <bottom style="thin">
        <color rgb="FFFFFFFF"/>
      </bottom>
    </border>
    <border>
      <left style="thick">
        <color rgb="FF3C78D8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3C78D8"/>
      </right>
      <top style="thin">
        <color rgb="FFFFFFFF"/>
      </top>
      <bottom style="thin">
        <color rgb="FFFFFFFF"/>
      </bottom>
    </border>
    <border>
      <left style="thick">
        <color rgb="FF3C78D8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3C78D8"/>
      </right>
      <top style="thin">
        <color rgb="FFFFFFFF"/>
      </top>
      <bottom style="thin">
        <color rgb="FFFFFFFF"/>
      </bottom>
    </border>
    <border>
      <left style="thick">
        <color rgb="FF3C78D8"/>
      </left>
      <top style="thin">
        <color rgb="FFFFFFFF"/>
      </top>
      <bottom style="thick">
        <color rgb="FF3C78D8"/>
      </bottom>
    </border>
    <border>
      <top style="thin">
        <color rgb="FFFFFFFF"/>
      </top>
      <bottom style="thick">
        <color rgb="FF3C78D8"/>
      </bottom>
    </border>
    <border>
      <right style="thick">
        <color rgb="FF3C78D8"/>
      </right>
      <top style="thin">
        <color rgb="FFFFFFFF"/>
      </top>
      <bottom style="thick">
        <color rgb="FF3C78D8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ck">
        <color rgb="FFA4C2F4"/>
      </left>
      <top style="thick">
        <color rgb="FFA4C2F4"/>
      </top>
    </border>
    <border>
      <right style="thin">
        <color rgb="FFFFFFFF"/>
      </right>
      <top style="thick">
        <color rgb="FFA4C2F4"/>
      </top>
    </border>
    <border>
      <left style="thin">
        <color rgb="FFFFFFFF"/>
      </left>
      <top style="thick">
        <color rgb="FFA4C2F4"/>
      </top>
    </border>
    <border>
      <top style="thick">
        <color rgb="FFA4C2F4"/>
      </top>
    </border>
    <border>
      <right style="thick">
        <color rgb="FFA4C2F4"/>
      </right>
      <top style="thick">
        <color rgb="FFA4C2F4"/>
      </top>
    </border>
    <border>
      <left style="thick">
        <color rgb="FF9FC5E8"/>
      </left>
      <bottom style="dotted">
        <color rgb="FF000000"/>
      </bottom>
    </border>
    <border>
      <right style="thick">
        <color rgb="FF9FC5E8"/>
      </right>
      <bottom style="dotted">
        <color rgb="FF000000"/>
      </bottom>
    </border>
    <border>
      <bottom style="dotted">
        <color rgb="FF000000"/>
      </bottom>
    </border>
    <border>
      <left style="thick">
        <color rgb="FFA4C2F4"/>
      </left>
      <right style="thick">
        <color rgb="FFA4C2F4"/>
      </right>
      <top style="thin">
        <color rgb="FFFFFFFF"/>
      </top>
      <bottom style="dotted">
        <color rgb="FF000000"/>
      </bottom>
    </border>
    <border>
      <right style="thick">
        <color rgb="FFA4C2F4"/>
      </right>
      <top style="thin">
        <color rgb="FFFFFFFF"/>
      </top>
      <bottom style="dotted">
        <color rgb="FF000000"/>
      </bottom>
    </border>
    <border>
      <left style="thick">
        <color rgb="FFA4C2F4"/>
      </left>
      <bottom style="dotted">
        <color rgb="FF000000"/>
      </bottom>
    </border>
    <border>
      <right style="thick">
        <color rgb="FFA4C2F4"/>
      </right>
      <bottom style="dotted">
        <color rgb="FF000000"/>
      </bottom>
    </border>
    <border>
      <left style="thick">
        <color rgb="FFA4C2F4"/>
      </left>
      <right style="thick">
        <color rgb="FFA4C2F4"/>
      </right>
      <bottom style="dotted">
        <color rgb="FF000000"/>
      </bottom>
    </border>
    <border>
      <left style="thick">
        <color rgb="FFA4C2F4"/>
      </left>
      <right style="thick">
        <color rgb="FFA4C2F4"/>
      </right>
      <top style="dotted">
        <color rgb="FF000000"/>
      </top>
      <bottom style="dotted">
        <color rgb="FF000000"/>
      </bottom>
    </border>
    <border>
      <right style="thick">
        <color rgb="FFA4C2F4"/>
      </right>
      <top style="dotted">
        <color rgb="FF000000"/>
      </top>
      <bottom style="dotted">
        <color rgb="FF000000"/>
      </bottom>
    </border>
    <border>
      <left style="thick">
        <color rgb="FFA4C2F4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ck">
        <color rgb="FFA4C2F4"/>
      </left>
      <bottom style="thick">
        <color rgb="FFA4C2F4"/>
      </bottom>
    </border>
    <border>
      <right style="thick">
        <color rgb="FFA4C2F4"/>
      </right>
      <bottom style="thick">
        <color rgb="FFA4C2F4"/>
      </bottom>
    </border>
    <border>
      <bottom style="thick">
        <color rgb="FFA4C2F4"/>
      </bottom>
    </border>
    <border>
      <left style="thick">
        <color rgb="FFA4C2F4"/>
      </left>
      <right style="thick">
        <color rgb="FFA4C2F4"/>
      </right>
      <bottom style="thick">
        <color rgb="FFA4C2F4"/>
      </bottom>
    </border>
    <border>
      <left style="thick">
        <color rgb="FFA4C2F4"/>
      </left>
      <right style="thick">
        <color rgb="FFA4C2F4"/>
      </right>
      <top style="dotted">
        <color rgb="FF000000"/>
      </top>
      <bottom style="thick">
        <color rgb="FFA4C2F4"/>
      </bottom>
    </border>
    <border>
      <right style="thick">
        <color rgb="FFA4C2F4"/>
      </right>
      <top style="dotted">
        <color rgb="FF000000"/>
      </top>
      <bottom style="thick">
        <color rgb="FFA4C2F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</border>
    <border>
      <left style="thin">
        <color rgb="FFFFFFFF"/>
      </left>
      <top style="thick">
        <color rgb="FF000000"/>
      </top>
      <bottom style="thin">
        <color rgb="FFFFFFFF"/>
      </bottom>
    </border>
    <border>
      <right style="thin">
        <color rgb="FFFFFFFF"/>
      </right>
      <top style="thick">
        <color rgb="FF000000"/>
      </top>
      <bottom style="thin">
        <color rgb="FFFFFFFF"/>
      </bottom>
    </border>
    <border>
      <top style="thick">
        <color rgb="FF000000"/>
      </top>
      <bottom style="thin">
        <color rgb="FFFFFFFF"/>
      </bottom>
    </border>
    <border>
      <right style="thick">
        <color rgb="FF000000"/>
      </right>
      <top style="thick">
        <color rgb="FF000000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ck">
        <color rgb="FF000000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ck">
        <color rgb="FF000000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FFFFFF"/>
      </right>
      <top style="thick">
        <color rgb="FF000000"/>
      </top>
      <bottom style="thick">
        <color rgb="FF000000"/>
      </bottom>
    </border>
    <border>
      <left style="thin">
        <color rgb="FFFFFFFF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readingOrder="0" shrinkToFit="0" vertical="center" wrapText="1"/>
    </xf>
    <xf borderId="10" fillId="2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shrinkToFit="0" vertical="center" wrapText="1"/>
    </xf>
    <xf borderId="3" fillId="0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10" fillId="2" fontId="4" numFmtId="164" xfId="0" applyAlignment="1" applyBorder="1" applyFont="1" applyNumberFormat="1">
      <alignment horizontal="center" shrinkToFit="0" vertical="center" wrapText="1"/>
    </xf>
    <xf borderId="11" fillId="2" fontId="3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0" fillId="0" fontId="2" numFmtId="0" xfId="0" applyBorder="1" applyFont="1"/>
    <xf borderId="9" fillId="2" fontId="3" numFmtId="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3" fontId="3" numFmtId="0" xfId="0" applyAlignment="1" applyBorder="1" applyFill="1" applyFont="1">
      <alignment horizontal="center" readingOrder="0" shrinkToFit="0" vertical="center" wrapText="1"/>
    </xf>
    <xf borderId="15" fillId="0" fontId="4" numFmtId="9" xfId="0" applyAlignment="1" applyBorder="1" applyFont="1" applyNumberFormat="1">
      <alignment horizontal="center" readingOrder="0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15" fillId="3" fontId="3" numFmtId="164" xfId="0" applyAlignment="1" applyBorder="1" applyFont="1" applyNumberFormat="1">
      <alignment horizontal="center" readingOrder="0" shrinkToFit="0" vertical="center" wrapText="1"/>
    </xf>
    <xf borderId="19" fillId="3" fontId="7" numFmtId="0" xfId="0" applyAlignment="1" applyBorder="1" applyFont="1">
      <alignment horizontal="center" readingOrder="0" shrinkToFit="0" vertical="center" wrapText="1"/>
    </xf>
    <xf borderId="19" fillId="3" fontId="7" numFmtId="164" xfId="0" applyAlignment="1" applyBorder="1" applyFont="1" applyNumberFormat="1">
      <alignment horizontal="center" readingOrder="0" shrinkToFit="0" vertical="center" wrapText="1"/>
    </xf>
    <xf borderId="19" fillId="0" fontId="7" numFmtId="0" xfId="0" applyAlignment="1" applyBorder="1" applyFont="1">
      <alignment horizontal="center" readingOrder="0" shrinkToFit="0" vertical="center" wrapText="1"/>
    </xf>
    <xf borderId="19" fillId="4" fontId="7" numFmtId="165" xfId="0" applyAlignment="1" applyBorder="1" applyFill="1" applyFont="1" applyNumberFormat="1">
      <alignment horizontal="center" readingOrder="0" shrinkToFit="0" vertical="center" wrapText="1"/>
    </xf>
    <xf borderId="19" fillId="0" fontId="4" numFmtId="3" xfId="0" applyAlignment="1" applyBorder="1" applyFont="1" applyNumberFormat="1">
      <alignment horizontal="center" readingOrder="0" shrinkToFit="0" vertical="center" wrapText="1"/>
    </xf>
    <xf borderId="19" fillId="0" fontId="4" numFmtId="164" xfId="0" applyAlignment="1" applyBorder="1" applyFont="1" applyNumberFormat="1">
      <alignment horizontal="center" readingOrder="0" shrinkToFit="0" vertical="center" wrapText="1"/>
    </xf>
    <xf borderId="19" fillId="0" fontId="4" numFmtId="164" xfId="0" applyAlignment="1" applyBorder="1" applyFont="1" applyNumberFormat="1">
      <alignment horizontal="center" shrinkToFit="0" vertical="center" wrapText="1"/>
    </xf>
    <xf borderId="19" fillId="3" fontId="3" numFmtId="164" xfId="0" applyAlignment="1" applyBorder="1" applyFont="1" applyNumberFormat="1">
      <alignment horizontal="center" shrinkToFit="0" vertical="center" wrapText="1"/>
    </xf>
    <xf borderId="20" fillId="0" fontId="4" numFmtId="0" xfId="0" applyAlignment="1" applyBorder="1" applyFont="1">
      <alignment horizontal="left" shrinkToFit="0" vertical="center" wrapText="0"/>
    </xf>
    <xf borderId="21" fillId="0" fontId="2" numFmtId="0" xfId="0" applyBorder="1" applyFont="1"/>
    <xf borderId="22" fillId="0" fontId="2" numFmtId="0" xfId="0" applyBorder="1" applyFont="1"/>
    <xf borderId="23" fillId="0" fontId="4" numFmtId="0" xfId="0" applyAlignment="1" applyBorder="1" applyFont="1">
      <alignment horizontal="left" readingOrder="0" shrinkToFit="0" vertical="center" wrapText="0"/>
    </xf>
    <xf borderId="24" fillId="0" fontId="4" numFmtId="0" xfId="0" applyAlignment="1" applyBorder="1" applyFont="1">
      <alignment horizontal="center" shrinkToFit="0" vertical="center" wrapText="1"/>
    </xf>
    <xf borderId="24" fillId="0" fontId="8" numFmtId="0" xfId="0" applyAlignment="1" applyBorder="1" applyFont="1">
      <alignment horizontal="left" readingOrder="0" shrinkToFit="0" vertical="bottom" wrapText="0"/>
    </xf>
    <xf borderId="20" fillId="0" fontId="9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horizontal="center" readingOrder="0" shrinkToFit="0" vertical="center" wrapText="1"/>
    </xf>
    <xf borderId="26" fillId="0" fontId="2" numFmtId="0" xfId="0" applyBorder="1" applyFont="1"/>
    <xf borderId="27" fillId="0" fontId="2" numFmtId="0" xfId="0" applyBorder="1" applyFont="1"/>
    <xf borderId="28" fillId="0" fontId="4" numFmtId="0" xfId="0" applyAlignment="1" applyBorder="1" applyFont="1">
      <alignment horizontal="left" shrinkToFit="0" vertical="center" wrapText="0"/>
    </xf>
    <xf borderId="29" fillId="0" fontId="2" numFmtId="0" xfId="0" applyBorder="1" applyFont="1"/>
    <xf borderId="24" fillId="0" fontId="4" numFmtId="0" xfId="0" applyAlignment="1" applyBorder="1" applyFont="1">
      <alignment horizontal="center" readingOrder="0" shrinkToFit="0" vertical="center" wrapText="1"/>
    </xf>
    <xf borderId="24" fillId="0" fontId="11" numFmtId="0" xfId="0" applyAlignment="1" applyBorder="1" applyFont="1">
      <alignment horizontal="center" shrinkToFit="0" wrapText="1"/>
    </xf>
    <xf borderId="24" fillId="0" fontId="12" numFmtId="0" xfId="0" applyAlignment="1" applyBorder="1" applyFont="1">
      <alignment horizontal="center" readingOrder="0" shrinkToFit="0" vertical="center" wrapText="0"/>
    </xf>
    <xf borderId="20" fillId="0" fontId="4" numFmtId="0" xfId="0" applyAlignment="1" applyBorder="1" applyFont="1">
      <alignment horizontal="center" shrinkToFit="0" vertical="center" wrapText="1"/>
    </xf>
    <xf borderId="30" fillId="0" fontId="9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24" fillId="0" fontId="9" numFmtId="0" xfId="0" applyAlignment="1" applyBorder="1" applyFont="1">
      <alignment horizontal="center" shrinkToFit="0" wrapText="1"/>
    </xf>
    <xf borderId="24" fillId="0" fontId="13" numFmtId="0" xfId="0" applyAlignment="1" applyBorder="1" applyFont="1">
      <alignment horizontal="center" readingOrder="0" shrinkToFit="0" vertical="center" wrapText="0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24" fillId="0" fontId="14" numFmtId="0" xfId="0" applyAlignment="1" applyBorder="1" applyFont="1">
      <alignment horizontal="center" readingOrder="0" shrinkToFit="0" vertical="center" wrapText="0"/>
    </xf>
    <xf borderId="37" fillId="0" fontId="10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24" fillId="0" fontId="15" numFmtId="0" xfId="0" applyAlignment="1" applyBorder="1" applyFont="1">
      <alignment horizontal="center" readingOrder="0" shrinkToFit="0" vertical="center" wrapText="0"/>
    </xf>
    <xf borderId="24" fillId="0" fontId="9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0"/>
    </xf>
    <xf borderId="24" fillId="0" fontId="16" numFmtId="0" xfId="0" applyAlignment="1" applyBorder="1" applyFont="1">
      <alignment horizontal="center" readingOrder="0" shrinkToFit="0" vertical="center" wrapText="0"/>
    </xf>
    <xf borderId="24" fillId="0" fontId="9" numFmtId="0" xfId="0" applyAlignment="1" applyBorder="1" applyFont="1">
      <alignment horizontal="center" readingOrder="0" shrinkToFit="0" vertical="center" wrapText="1"/>
    </xf>
    <xf borderId="24" fillId="0" fontId="17" numFmtId="0" xfId="0" applyAlignment="1" applyBorder="1" applyFont="1">
      <alignment horizontal="center" readingOrder="0" shrinkToFit="0" vertical="center" wrapText="0"/>
    </xf>
    <xf borderId="24" fillId="0" fontId="18" numFmtId="0" xfId="0" applyAlignment="1" applyBorder="1" applyFont="1">
      <alignment horizontal="center" readingOrder="0" shrinkToFit="0" vertical="center" wrapText="0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23" fillId="0" fontId="4" numFmtId="0" xfId="0" applyAlignment="1" applyBorder="1" applyFont="1">
      <alignment horizontal="center" readingOrder="0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9" fillId="0" fontId="9" numFmtId="0" xfId="0" applyAlignment="1" applyBorder="1" applyFont="1">
      <alignment horizontal="center" shrinkToFit="0" vertical="center" wrapText="1"/>
    </xf>
    <xf borderId="29" fillId="0" fontId="19" numFmtId="0" xfId="0" applyAlignment="1" applyBorder="1" applyFont="1">
      <alignment horizontal="center" readingOrder="0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vertical="center" wrapText="1"/>
    </xf>
    <xf borderId="43" fillId="0" fontId="2" numFmtId="0" xfId="0" applyBorder="1" applyFont="1"/>
    <xf borderId="44" fillId="0" fontId="2" numFmtId="0" xfId="0" applyBorder="1" applyFont="1"/>
    <xf borderId="45" fillId="0" fontId="4" numFmtId="0" xfId="0" applyAlignment="1" applyBorder="1" applyFont="1">
      <alignment horizontal="center" readingOrder="0" shrinkToFit="0" vertical="center" wrapText="1"/>
    </xf>
    <xf borderId="46" fillId="0" fontId="2" numFmtId="0" xfId="0" applyBorder="1" applyFont="1"/>
    <xf borderId="47" fillId="0" fontId="4" numFmtId="0" xfId="0" applyAlignment="1" applyBorder="1" applyFont="1">
      <alignment horizontal="center" shrinkToFit="0" vertical="center" wrapText="1"/>
    </xf>
    <xf borderId="48" fillId="0" fontId="4" numFmtId="0" xfId="0" applyAlignment="1" applyBorder="1" applyFont="1">
      <alignment horizontal="center" shrinkToFit="0" vertical="center" wrapText="1"/>
    </xf>
    <xf borderId="49" fillId="0" fontId="4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51" fillId="0" fontId="2" numFmtId="0" xfId="0" applyBorder="1" applyFont="1"/>
    <xf borderId="52" fillId="0" fontId="4" numFmtId="0" xfId="0" applyAlignment="1" applyBorder="1" applyFont="1">
      <alignment horizontal="center" readingOrder="0" shrinkToFit="0" vertical="center" wrapText="1"/>
    </xf>
    <xf borderId="28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56" fillId="5" fontId="20" numFmtId="0" xfId="0" applyAlignment="1" applyBorder="1" applyFill="1" applyFont="1">
      <alignment horizontal="center" readingOrder="0" shrinkToFit="0" vertical="center" wrapText="1"/>
    </xf>
    <xf borderId="57" fillId="0" fontId="2" numFmtId="0" xfId="0" applyBorder="1" applyFont="1"/>
    <xf borderId="58" fillId="5" fontId="20" numFmtId="0" xfId="0" applyAlignment="1" applyBorder="1" applyFont="1">
      <alignment horizontal="center" shrinkToFit="0" wrapText="1"/>
    </xf>
    <xf borderId="59" fillId="0" fontId="2" numFmtId="0" xfId="0" applyBorder="1" applyFont="1"/>
    <xf borderId="58" fillId="5" fontId="20" numFmtId="0" xfId="0" applyAlignment="1" applyBorder="1" applyFont="1">
      <alignment horizontal="center" shrinkToFit="0" wrapText="1"/>
    </xf>
    <xf borderId="60" fillId="0" fontId="2" numFmtId="0" xfId="0" applyBorder="1" applyFont="1"/>
    <xf borderId="61" fillId="0" fontId="4" numFmtId="0" xfId="0" applyAlignment="1" applyBorder="1" applyFont="1">
      <alignment horizontal="center" readingOrder="0" shrinkToFit="0" vertical="center" wrapText="1"/>
    </xf>
    <xf borderId="62" fillId="0" fontId="2" numFmtId="0" xfId="0" applyBorder="1" applyFont="1"/>
    <xf borderId="63" fillId="0" fontId="2" numFmtId="0" xfId="0" applyBorder="1" applyFont="1"/>
    <xf borderId="61" fillId="0" fontId="4" numFmtId="164" xfId="0" applyAlignment="1" applyBorder="1" applyFont="1" applyNumberFormat="1">
      <alignment horizontal="center" readingOrder="0" shrinkToFit="0" vertical="center" wrapText="1"/>
    </xf>
    <xf borderId="64" fillId="0" fontId="4" numFmtId="164" xfId="0" applyAlignment="1" applyBorder="1" applyFont="1" applyNumberFormat="1">
      <alignment horizontal="center" shrinkToFit="0" vertical="center" wrapText="1"/>
    </xf>
    <xf borderId="65" fillId="0" fontId="4" numFmtId="164" xfId="0" applyAlignment="1" applyBorder="1" applyFont="1" applyNumberFormat="1">
      <alignment horizontal="center" shrinkToFit="0" vertical="center" wrapText="1"/>
    </xf>
    <xf borderId="66" fillId="0" fontId="4" numFmtId="0" xfId="0" applyAlignment="1" applyBorder="1" applyFont="1">
      <alignment horizontal="center" readingOrder="0" shrinkToFit="0" vertical="center" wrapText="1"/>
    </xf>
    <xf borderId="67" fillId="0" fontId="2" numFmtId="0" xfId="0" applyBorder="1" applyFont="1"/>
    <xf borderId="68" fillId="0" fontId="4" numFmtId="164" xfId="0" applyAlignment="1" applyBorder="1" applyFont="1" applyNumberFormat="1">
      <alignment horizontal="center" readingOrder="0" shrinkToFit="0" vertical="center" wrapText="1"/>
    </xf>
    <xf borderId="69" fillId="0" fontId="4" numFmtId="164" xfId="0" applyAlignment="1" applyBorder="1" applyFont="1" applyNumberFormat="1">
      <alignment horizontal="center" readingOrder="0" shrinkToFit="0" vertical="center" wrapText="1"/>
    </xf>
    <xf borderId="70" fillId="0" fontId="4" numFmtId="164" xfId="0" applyAlignment="1" applyBorder="1" applyFont="1" applyNumberFormat="1">
      <alignment horizontal="center" shrinkToFit="0" vertical="center" wrapText="1"/>
    </xf>
    <xf borderId="71" fillId="0" fontId="4" numFmtId="0" xfId="0" applyAlignment="1" applyBorder="1" applyFont="1">
      <alignment horizontal="center" readingOrder="0" shrinkToFit="0" vertical="center" wrapText="1"/>
    </xf>
    <xf borderId="70" fillId="0" fontId="2" numFmtId="0" xfId="0" applyBorder="1" applyFont="1"/>
    <xf borderId="72" fillId="0" fontId="2" numFmtId="0" xfId="0" applyBorder="1" applyFont="1"/>
    <xf borderId="69" fillId="0" fontId="4" numFmtId="164" xfId="0" applyAlignment="1" applyBorder="1" applyFont="1" applyNumberFormat="1">
      <alignment horizontal="center" shrinkToFit="0" vertical="center" wrapText="1"/>
    </xf>
    <xf borderId="71" fillId="0" fontId="4" numFmtId="0" xfId="0" applyAlignment="1" applyBorder="1" applyFont="1">
      <alignment horizontal="center" shrinkToFit="0" vertical="center" wrapText="1"/>
    </xf>
    <xf borderId="73" fillId="0" fontId="4" numFmtId="0" xfId="0" applyAlignment="1" applyBorder="1" applyFont="1">
      <alignment horizontal="center" readingOrder="0" shrinkToFit="0" vertical="center" wrapText="1"/>
    </xf>
    <xf borderId="74" fillId="0" fontId="2" numFmtId="0" xfId="0" applyBorder="1" applyFont="1"/>
    <xf borderId="73" fillId="0" fontId="4" numFmtId="0" xfId="0" applyAlignment="1" applyBorder="1" applyFont="1">
      <alignment horizontal="center" shrinkToFit="0" vertical="center" wrapText="1"/>
    </xf>
    <xf borderId="75" fillId="0" fontId="2" numFmtId="0" xfId="0" applyBorder="1" applyFont="1"/>
    <xf borderId="76" fillId="0" fontId="4" numFmtId="164" xfId="0" applyAlignment="1" applyBorder="1" applyFont="1" applyNumberFormat="1">
      <alignment horizontal="center" readingOrder="0" shrinkToFit="0" vertical="center" wrapText="1"/>
    </xf>
    <xf borderId="77" fillId="0" fontId="4" numFmtId="164" xfId="0" applyAlignment="1" applyBorder="1" applyFont="1" applyNumberFormat="1">
      <alignment horizontal="center" shrinkToFit="0" vertical="center" wrapText="1"/>
    </xf>
    <xf borderId="78" fillId="0" fontId="4" numFmtId="164" xfId="0" applyAlignment="1" applyBorder="1" applyFont="1" applyNumberFormat="1">
      <alignment horizontal="center" shrinkToFit="0" vertical="center" wrapText="1"/>
    </xf>
    <xf borderId="79" fillId="0" fontId="4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wrapText="1"/>
    </xf>
    <xf borderId="80" fillId="0" fontId="3" numFmtId="0" xfId="0" applyAlignment="1" applyBorder="1" applyFont="1">
      <alignment horizontal="center" readingOrder="0" shrinkToFit="0" vertical="center" wrapText="1"/>
    </xf>
    <xf borderId="81" fillId="0" fontId="9" numFmtId="0" xfId="0" applyAlignment="1" applyBorder="1" applyFont="1">
      <alignment horizontal="center" shrinkToFit="0" wrapText="1"/>
    </xf>
    <xf borderId="82" fillId="0" fontId="2" numFmtId="0" xfId="0" applyBorder="1" applyFont="1"/>
    <xf borderId="79" fillId="0" fontId="2" numFmtId="0" xfId="0" applyBorder="1" applyFont="1"/>
    <xf borderId="81" fillId="0" fontId="4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80" fillId="0" fontId="21" numFmtId="0" xfId="0" applyAlignment="1" applyBorder="1" applyFont="1">
      <alignment horizontal="center" readingOrder="0" shrinkToFit="0" vertical="center" wrapText="1"/>
    </xf>
    <xf borderId="81" fillId="0" fontId="22" numFmtId="164" xfId="0" applyAlignment="1" applyBorder="1" applyFont="1" applyNumberFormat="1">
      <alignment horizontal="center" readingOrder="0" shrinkToFit="0" vertical="center" wrapText="1"/>
    </xf>
    <xf borderId="84" fillId="0" fontId="2" numFmtId="0" xfId="0" applyBorder="1" applyFont="1"/>
    <xf borderId="85" fillId="0" fontId="23" numFmtId="0" xfId="0" applyAlignment="1" applyBorder="1" applyFont="1">
      <alignment horizontal="center" readingOrder="0" shrinkToFit="0" wrapText="1"/>
    </xf>
    <xf borderId="52" fillId="0" fontId="9" numFmtId="0" xfId="0" applyAlignment="1" applyBorder="1" applyFont="1">
      <alignment horizontal="center" shrinkToFit="0" wrapText="1"/>
    </xf>
    <xf borderId="23" fillId="0" fontId="3" numFmtId="0" xfId="0" applyAlignment="1" applyBorder="1" applyFont="1">
      <alignment horizontal="center" readingOrder="0" shrinkToFit="0" vertical="center" wrapText="1"/>
    </xf>
    <xf borderId="52" fillId="0" fontId="4" numFmtId="0" xfId="0" applyAlignment="1" applyBorder="1" applyFont="1">
      <alignment horizontal="center" shrinkToFit="0" vertical="center" wrapText="1"/>
    </xf>
    <xf borderId="86" fillId="0" fontId="21" numFmtId="0" xfId="0" applyAlignment="1" applyBorder="1" applyFont="1">
      <alignment horizontal="center" readingOrder="0" shrinkToFit="0" vertical="center" wrapText="1"/>
    </xf>
    <xf borderId="20" fillId="0" fontId="22" numFmtId="9" xfId="0" applyAlignment="1" applyBorder="1" applyFont="1" applyNumberFormat="1">
      <alignment horizontal="center" readingOrder="0" shrinkToFit="0" vertical="center" wrapText="1"/>
    </xf>
    <xf borderId="87" fillId="0" fontId="2" numFmtId="0" xfId="0" applyBorder="1" applyFont="1"/>
    <xf borderId="88" fillId="0" fontId="4" numFmtId="0" xfId="0" applyAlignment="1" applyBorder="1" applyFont="1">
      <alignment horizontal="center" readingOrder="0" shrinkToFit="0" vertical="center" wrapText="1"/>
    </xf>
    <xf borderId="89" fillId="0" fontId="9" numFmtId="0" xfId="0" applyAlignment="1" applyBorder="1" applyFont="1">
      <alignment horizontal="center" shrinkToFit="0" wrapText="1"/>
    </xf>
    <xf borderId="89" fillId="0" fontId="4" numFmtId="0" xfId="0" applyAlignment="1" applyBorder="1" applyFont="1">
      <alignment horizontal="center" shrinkToFit="0" vertical="center" wrapText="1"/>
    </xf>
    <xf borderId="90" fillId="0" fontId="4" numFmtId="0" xfId="0" applyAlignment="1" applyBorder="1" applyFont="1">
      <alignment horizontal="center" shrinkToFit="0" vertical="center" wrapText="1"/>
    </xf>
    <xf borderId="91" fillId="0" fontId="24" numFmtId="0" xfId="0" applyAlignment="1" applyBorder="1" applyFont="1">
      <alignment horizontal="center" readingOrder="0" shrinkToFit="0" vertical="center" wrapText="1"/>
    </xf>
    <xf borderId="92" fillId="0" fontId="22" numFmtId="164" xfId="0" applyAlignment="1" applyBorder="1" applyFont="1" applyNumberFormat="1">
      <alignment horizontal="center" readingOrder="0" shrinkToFit="0" vertical="center" wrapText="1"/>
    </xf>
    <xf borderId="93" fillId="0" fontId="2" numFmtId="0" xfId="0" applyBorder="1" applyFont="1"/>
    <xf borderId="29" fillId="0" fontId="4" numFmtId="0" xfId="0" applyAlignment="1" applyBorder="1" applyFont="1">
      <alignment horizontal="center" readingOrder="0" shrinkToFit="0" vertical="center" wrapText="1"/>
    </xf>
    <xf borderId="29" fillId="0" fontId="9" numFmtId="0" xfId="0" applyAlignment="1" applyBorder="1" applyFont="1">
      <alignment horizontal="center" shrinkToFit="0" wrapText="1"/>
    </xf>
    <xf borderId="94" fillId="0" fontId="24" numFmtId="0" xfId="0" applyAlignment="1" applyBorder="1" applyFont="1">
      <alignment horizontal="center" readingOrder="0" shrinkToFit="0" vertical="center" wrapText="1"/>
    </xf>
    <xf borderId="95" fillId="0" fontId="2" numFmtId="0" xfId="0" applyBorder="1" applyFont="1"/>
    <xf borderId="96" fillId="0" fontId="2" numFmtId="0" xfId="0" applyBorder="1" applyFont="1"/>
    <xf borderId="89" fillId="0" fontId="21" numFmtId="0" xfId="0" applyAlignment="1" applyBorder="1" applyFont="1">
      <alignment horizontal="center" readingOrder="0" shrinkToFit="0" vertical="bottom" wrapText="1"/>
    </xf>
    <xf borderId="89" fillId="0" fontId="21" numFmtId="0" xfId="0" applyAlignment="1" applyBorder="1" applyFont="1">
      <alignment horizontal="center" shrinkToFit="0" vertical="bottom" wrapText="1"/>
    </xf>
    <xf borderId="97" fillId="0" fontId="21" numFmtId="0" xfId="0" applyAlignment="1" applyBorder="1" applyFont="1">
      <alignment horizontal="center" shrinkToFit="0" vertical="bottom" wrapText="1"/>
    </xf>
    <xf borderId="97" fillId="0" fontId="21" numFmtId="0" xfId="0" applyAlignment="1" applyBorder="1" applyFont="1">
      <alignment horizontal="center" readingOrder="0" shrinkToFit="0" vertical="bottom" wrapText="1"/>
    </xf>
    <xf borderId="98" fillId="0" fontId="2" numFmtId="0" xfId="0" applyBorder="1" applyFont="1"/>
    <xf borderId="0" fillId="0" fontId="4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0</xdr:row>
      <xdr:rowOff>371475</xdr:rowOff>
    </xdr:from>
    <xdr:ext cx="942975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B6D7A8"/>
      </a:lt1>
      <a:dk2>
        <a:srgbClr val="000000"/>
      </a:dk2>
      <a:lt2>
        <a:srgbClr val="B6D7A8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nexusdigitalis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4"/>
      <c r="F3" s="5"/>
    </row>
    <row r="4">
      <c r="A4" s="6"/>
      <c r="B4" s="7"/>
      <c r="C4" s="7"/>
      <c r="D4" s="7"/>
      <c r="E4" s="7"/>
      <c r="F4" s="8"/>
    </row>
    <row r="5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1" t="s">
        <v>6</v>
      </c>
    </row>
    <row r="6">
      <c r="A6" s="12" t="s">
        <v>7</v>
      </c>
      <c r="B6" s="13">
        <v>12.0</v>
      </c>
      <c r="C6" s="14">
        <v>400.0</v>
      </c>
      <c r="D6" s="15">
        <f t="shared" ref="D6:D15" si="1">(B6*C6)</f>
        <v>4800</v>
      </c>
      <c r="E6" s="15">
        <f t="shared" ref="E6:E15" si="2">(D6*$D$18)</f>
        <v>912</v>
      </c>
      <c r="F6" s="16">
        <f t="shared" ref="F6:F15" si="3">SUM(D6:E6)</f>
        <v>5712</v>
      </c>
    </row>
    <row r="7">
      <c r="A7" s="17" t="s">
        <v>8</v>
      </c>
      <c r="B7" s="18">
        <v>5.0</v>
      </c>
      <c r="C7" s="19">
        <v>1200.0</v>
      </c>
      <c r="D7" s="20">
        <f t="shared" si="1"/>
        <v>6000</v>
      </c>
      <c r="E7" s="20">
        <f t="shared" si="2"/>
        <v>1140</v>
      </c>
      <c r="F7" s="21">
        <f t="shared" si="3"/>
        <v>7140</v>
      </c>
    </row>
    <row r="8">
      <c r="A8" s="17" t="s">
        <v>9</v>
      </c>
      <c r="B8" s="18">
        <v>4.0</v>
      </c>
      <c r="C8" s="19">
        <v>600.0</v>
      </c>
      <c r="D8" s="20">
        <f t="shared" si="1"/>
        <v>2400</v>
      </c>
      <c r="E8" s="20">
        <f t="shared" si="2"/>
        <v>456</v>
      </c>
      <c r="F8" s="21">
        <f t="shared" si="3"/>
        <v>2856</v>
      </c>
    </row>
    <row r="9">
      <c r="A9" s="17" t="s">
        <v>10</v>
      </c>
      <c r="B9" s="18">
        <v>6.0</v>
      </c>
      <c r="C9" s="19">
        <v>2100.0</v>
      </c>
      <c r="D9" s="20">
        <f t="shared" si="1"/>
        <v>12600</v>
      </c>
      <c r="E9" s="20">
        <f t="shared" si="2"/>
        <v>2394</v>
      </c>
      <c r="F9" s="21">
        <f t="shared" si="3"/>
        <v>14994</v>
      </c>
    </row>
    <row r="10">
      <c r="A10" s="17" t="s">
        <v>11</v>
      </c>
      <c r="B10" s="18">
        <v>3.0</v>
      </c>
      <c r="C10" s="19">
        <v>350.0</v>
      </c>
      <c r="D10" s="20">
        <f t="shared" si="1"/>
        <v>1050</v>
      </c>
      <c r="E10" s="20">
        <f t="shared" si="2"/>
        <v>199.5</v>
      </c>
      <c r="F10" s="21">
        <f t="shared" si="3"/>
        <v>1249.5</v>
      </c>
    </row>
    <row r="11">
      <c r="A11" s="17" t="s">
        <v>12</v>
      </c>
      <c r="B11" s="18">
        <v>1.0</v>
      </c>
      <c r="C11" s="19">
        <v>1800.0</v>
      </c>
      <c r="D11" s="20">
        <f t="shared" si="1"/>
        <v>1800</v>
      </c>
      <c r="E11" s="20">
        <f t="shared" si="2"/>
        <v>342</v>
      </c>
      <c r="F11" s="21">
        <f t="shared" si="3"/>
        <v>2142</v>
      </c>
    </row>
    <row r="12">
      <c r="A12" s="17" t="s">
        <v>13</v>
      </c>
      <c r="B12" s="18">
        <v>2.0</v>
      </c>
      <c r="C12" s="19">
        <v>1250.0</v>
      </c>
      <c r="D12" s="20">
        <f t="shared" si="1"/>
        <v>2500</v>
      </c>
      <c r="E12" s="20">
        <f t="shared" si="2"/>
        <v>475</v>
      </c>
      <c r="F12" s="21">
        <f t="shared" si="3"/>
        <v>2975</v>
      </c>
    </row>
    <row r="13">
      <c r="A13" s="17" t="s">
        <v>14</v>
      </c>
      <c r="B13" s="18">
        <v>12.0</v>
      </c>
      <c r="C13" s="19">
        <v>1200.0</v>
      </c>
      <c r="D13" s="20">
        <f t="shared" si="1"/>
        <v>14400</v>
      </c>
      <c r="E13" s="20">
        <f t="shared" si="2"/>
        <v>2736</v>
      </c>
      <c r="F13" s="21">
        <f t="shared" si="3"/>
        <v>17136</v>
      </c>
    </row>
    <row r="14">
      <c r="A14" s="17" t="s">
        <v>15</v>
      </c>
      <c r="B14" s="18">
        <v>40.0</v>
      </c>
      <c r="C14" s="19">
        <v>950.0</v>
      </c>
      <c r="D14" s="20">
        <f t="shared" si="1"/>
        <v>38000</v>
      </c>
      <c r="E14" s="20">
        <f t="shared" si="2"/>
        <v>7220</v>
      </c>
      <c r="F14" s="21">
        <f t="shared" si="3"/>
        <v>45220</v>
      </c>
    </row>
    <row r="15">
      <c r="A15" s="17" t="s">
        <v>16</v>
      </c>
      <c r="B15" s="18">
        <v>1.0</v>
      </c>
      <c r="C15" s="19">
        <v>45000.0</v>
      </c>
      <c r="D15" s="20">
        <f t="shared" si="1"/>
        <v>45000</v>
      </c>
      <c r="E15" s="20">
        <f t="shared" si="2"/>
        <v>8550</v>
      </c>
      <c r="F15" s="21">
        <f t="shared" si="3"/>
        <v>53550</v>
      </c>
    </row>
    <row r="16">
      <c r="A16" s="9" t="s">
        <v>17</v>
      </c>
      <c r="B16" s="22"/>
      <c r="C16" s="23">
        <f t="shared" ref="C16:F16" si="4">SUM(C1:C15)</f>
        <v>54850</v>
      </c>
      <c r="D16" s="23">
        <f t="shared" si="4"/>
        <v>128550</v>
      </c>
      <c r="E16" s="23">
        <f t="shared" si="4"/>
        <v>24424.5</v>
      </c>
      <c r="F16" s="24">
        <f t="shared" si="4"/>
        <v>152974.5</v>
      </c>
    </row>
    <row r="17">
      <c r="A17" s="25"/>
    </row>
    <row r="18">
      <c r="A18" s="9" t="s">
        <v>18</v>
      </c>
      <c r="B18" s="26"/>
      <c r="C18" s="22"/>
      <c r="D18" s="27">
        <v>0.19</v>
      </c>
      <c r="E18" s="26"/>
      <c r="F18" s="22"/>
    </row>
  </sheetData>
  <mergeCells count="5">
    <mergeCell ref="A1:F4"/>
    <mergeCell ref="A16:B16"/>
    <mergeCell ref="A17:F17"/>
    <mergeCell ref="A18:C18"/>
    <mergeCell ref="D18:F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28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L2" s="5"/>
    </row>
    <row r="3">
      <c r="A3" s="4"/>
      <c r="L3" s="5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>
      <c r="A5" s="29" t="s">
        <v>20</v>
      </c>
      <c r="B5" s="30"/>
      <c r="C5" s="30"/>
      <c r="D5" s="30"/>
      <c r="E5" s="30"/>
      <c r="F5" s="30"/>
      <c r="G5" s="30"/>
      <c r="H5" s="30"/>
      <c r="I5" s="31"/>
      <c r="J5" s="18"/>
      <c r="K5" s="32" t="s">
        <v>21</v>
      </c>
      <c r="L5" s="33">
        <v>0.19</v>
      </c>
    </row>
    <row r="6">
      <c r="A6" s="34" t="s">
        <v>22</v>
      </c>
      <c r="B6" s="35"/>
      <c r="C6" s="35"/>
      <c r="D6" s="35"/>
      <c r="E6" s="35"/>
      <c r="F6" s="35"/>
      <c r="G6" s="35"/>
      <c r="H6" s="35"/>
      <c r="I6" s="36"/>
      <c r="K6" s="37" t="s">
        <v>23</v>
      </c>
      <c r="L6" s="33">
        <v>0.03</v>
      </c>
    </row>
    <row r="7">
      <c r="A7" s="18"/>
      <c r="J7" s="20"/>
    </row>
    <row r="9">
      <c r="A9" s="38" t="s">
        <v>24</v>
      </c>
      <c r="B9" s="38" t="s">
        <v>25</v>
      </c>
      <c r="C9" s="39" t="s">
        <v>26</v>
      </c>
      <c r="D9" s="39" t="s">
        <v>27</v>
      </c>
      <c r="E9" s="39" t="s">
        <v>2</v>
      </c>
      <c r="F9" s="39" t="s">
        <v>28</v>
      </c>
      <c r="G9" s="39" t="s">
        <v>23</v>
      </c>
      <c r="H9" s="39" t="s">
        <v>21</v>
      </c>
      <c r="I9" s="39" t="s">
        <v>29</v>
      </c>
    </row>
    <row r="10">
      <c r="A10" s="40">
        <v>1.0</v>
      </c>
      <c r="B10" s="41">
        <v>45870.0</v>
      </c>
      <c r="C10" s="42">
        <v>123.0</v>
      </c>
      <c r="D10" s="43" t="s">
        <v>30</v>
      </c>
      <c r="E10" s="42">
        <v>42.0</v>
      </c>
      <c r="F10" s="43">
        <v>32500.0</v>
      </c>
      <c r="G10" s="44">
        <f t="shared" ref="G10:G17" si="1">(F10*$L$6)</f>
        <v>975</v>
      </c>
      <c r="H10" s="44">
        <f t="shared" ref="H10:H17" si="2">((F10-G10)*$L$5)</f>
        <v>5989.75</v>
      </c>
      <c r="I10" s="44">
        <f t="shared" ref="I10:I17" si="3">(((F10-G10)+H10)*E10)</f>
        <v>1575619.5</v>
      </c>
    </row>
    <row r="11">
      <c r="A11" s="40">
        <v>2.0</v>
      </c>
      <c r="B11" s="41">
        <v>45871.0</v>
      </c>
      <c r="C11" s="42">
        <f t="shared" ref="C11:C17" si="4">(C10+1)</f>
        <v>124</v>
      </c>
      <c r="D11" s="43" t="s">
        <v>31</v>
      </c>
      <c r="E11" s="42">
        <v>50.0</v>
      </c>
      <c r="F11" s="43">
        <v>40200.0</v>
      </c>
      <c r="G11" s="44">
        <f t="shared" si="1"/>
        <v>1206</v>
      </c>
      <c r="H11" s="44">
        <f t="shared" si="2"/>
        <v>7408.86</v>
      </c>
      <c r="I11" s="44">
        <f t="shared" si="3"/>
        <v>2320143</v>
      </c>
    </row>
    <row r="12">
      <c r="A12" s="40">
        <v>3.0</v>
      </c>
      <c r="B12" s="41">
        <v>45872.0</v>
      </c>
      <c r="C12" s="42">
        <f t="shared" si="4"/>
        <v>125</v>
      </c>
      <c r="D12" s="43" t="s">
        <v>32</v>
      </c>
      <c r="E12" s="42">
        <v>55.0</v>
      </c>
      <c r="F12" s="43">
        <v>40700.0</v>
      </c>
      <c r="G12" s="44">
        <f t="shared" si="1"/>
        <v>1221</v>
      </c>
      <c r="H12" s="44">
        <f t="shared" si="2"/>
        <v>7501.01</v>
      </c>
      <c r="I12" s="44">
        <f t="shared" si="3"/>
        <v>2583900.55</v>
      </c>
    </row>
    <row r="13">
      <c r="A13" s="40">
        <v>4.0</v>
      </c>
      <c r="B13" s="41">
        <v>45873.0</v>
      </c>
      <c r="C13" s="42">
        <f t="shared" si="4"/>
        <v>126</v>
      </c>
      <c r="D13" s="43" t="s">
        <v>33</v>
      </c>
      <c r="E13" s="42">
        <v>39.0</v>
      </c>
      <c r="F13" s="43">
        <v>49500.0</v>
      </c>
      <c r="G13" s="44">
        <f t="shared" si="1"/>
        <v>1485</v>
      </c>
      <c r="H13" s="44">
        <f t="shared" si="2"/>
        <v>9122.85</v>
      </c>
      <c r="I13" s="44">
        <f t="shared" si="3"/>
        <v>2228376.15</v>
      </c>
    </row>
    <row r="14">
      <c r="A14" s="40">
        <v>5.0</v>
      </c>
      <c r="B14" s="41">
        <v>45874.0</v>
      </c>
      <c r="C14" s="42">
        <f t="shared" si="4"/>
        <v>127</v>
      </c>
      <c r="D14" s="43" t="s">
        <v>34</v>
      </c>
      <c r="E14" s="42">
        <v>45.0</v>
      </c>
      <c r="F14" s="43">
        <v>35700.0</v>
      </c>
      <c r="G14" s="44">
        <f t="shared" si="1"/>
        <v>1071</v>
      </c>
      <c r="H14" s="44">
        <f t="shared" si="2"/>
        <v>6579.51</v>
      </c>
      <c r="I14" s="44">
        <f t="shared" si="3"/>
        <v>1854382.95</v>
      </c>
    </row>
    <row r="15">
      <c r="A15" s="40">
        <v>6.0</v>
      </c>
      <c r="B15" s="41">
        <v>45875.0</v>
      </c>
      <c r="C15" s="42">
        <f t="shared" si="4"/>
        <v>128</v>
      </c>
      <c r="D15" s="43" t="s">
        <v>35</v>
      </c>
      <c r="E15" s="42">
        <v>29.0</v>
      </c>
      <c r="F15" s="43">
        <v>38900.0</v>
      </c>
      <c r="G15" s="44">
        <f t="shared" si="1"/>
        <v>1167</v>
      </c>
      <c r="H15" s="44">
        <f t="shared" si="2"/>
        <v>7169.27</v>
      </c>
      <c r="I15" s="44">
        <f t="shared" si="3"/>
        <v>1302165.83</v>
      </c>
    </row>
    <row r="16">
      <c r="A16" s="40">
        <v>7.0</v>
      </c>
      <c r="B16" s="41">
        <v>45876.0</v>
      </c>
      <c r="C16" s="42">
        <f t="shared" si="4"/>
        <v>129</v>
      </c>
      <c r="D16" s="43" t="s">
        <v>36</v>
      </c>
      <c r="E16" s="42">
        <v>38.0</v>
      </c>
      <c r="F16" s="43">
        <v>35400.0</v>
      </c>
      <c r="G16" s="44">
        <f t="shared" si="1"/>
        <v>1062</v>
      </c>
      <c r="H16" s="44">
        <f t="shared" si="2"/>
        <v>6524.22</v>
      </c>
      <c r="I16" s="44">
        <f t="shared" si="3"/>
        <v>1552764.36</v>
      </c>
    </row>
    <row r="17">
      <c r="A17" s="40">
        <v>8.0</v>
      </c>
      <c r="B17" s="41">
        <v>45877.0</v>
      </c>
      <c r="C17" s="42">
        <f t="shared" si="4"/>
        <v>130</v>
      </c>
      <c r="D17" s="43" t="s">
        <v>37</v>
      </c>
      <c r="E17" s="42">
        <v>42.0</v>
      </c>
      <c r="F17" s="43">
        <v>40900.0</v>
      </c>
      <c r="G17" s="44">
        <f t="shared" si="1"/>
        <v>1227</v>
      </c>
      <c r="H17" s="44">
        <f t="shared" si="2"/>
        <v>7537.87</v>
      </c>
      <c r="I17" s="44">
        <f t="shared" si="3"/>
        <v>1982856.54</v>
      </c>
    </row>
    <row r="18">
      <c r="A18" s="18"/>
      <c r="B18" s="18"/>
      <c r="C18" s="19"/>
      <c r="D18" s="20"/>
      <c r="E18" s="20"/>
      <c r="F18" s="20"/>
      <c r="G18" s="20"/>
      <c r="H18" s="39" t="s">
        <v>17</v>
      </c>
      <c r="I18" s="45">
        <f>SUM(I10:I17)</f>
        <v>15400208.88</v>
      </c>
    </row>
  </sheetData>
  <mergeCells count="6">
    <mergeCell ref="A1:L4"/>
    <mergeCell ref="A5:I5"/>
    <mergeCell ref="J5:J6"/>
    <mergeCell ref="A6:I6"/>
    <mergeCell ref="A7:I8"/>
    <mergeCell ref="J7:L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9.25"/>
    <col customWidth="1" min="5" max="5" width="16.25"/>
    <col customWidth="1" min="9" max="9" width="24.63"/>
    <col customWidth="1" min="10" max="10" width="9.88"/>
  </cols>
  <sheetData>
    <row r="1" ht="42.75" customHeight="1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</row>
    <row r="2" ht="42.75" customHeight="1">
      <c r="A2" s="49" t="s">
        <v>38</v>
      </c>
      <c r="B2" s="50"/>
      <c r="C2" s="50"/>
      <c r="D2" s="51" t="s">
        <v>39</v>
      </c>
      <c r="E2" s="50"/>
      <c r="F2" s="50"/>
      <c r="G2" s="52"/>
      <c r="H2" s="53" t="s">
        <v>40</v>
      </c>
      <c r="I2" s="54"/>
      <c r="J2" s="54"/>
      <c r="K2" s="55"/>
      <c r="L2" s="56"/>
    </row>
    <row r="3">
      <c r="A3" s="57"/>
      <c r="B3" s="58"/>
      <c r="C3" s="59"/>
      <c r="D3" s="60"/>
      <c r="E3" s="50"/>
      <c r="F3" s="50"/>
      <c r="G3" s="61"/>
      <c r="H3" s="62"/>
      <c r="I3" s="63"/>
      <c r="J3" s="63"/>
      <c r="K3" s="64"/>
      <c r="L3" s="65"/>
    </row>
    <row r="4">
      <c r="A4" s="57"/>
      <c r="B4" s="58"/>
      <c r="C4" s="66"/>
      <c r="D4" s="67" t="s">
        <v>41</v>
      </c>
      <c r="E4" s="50"/>
      <c r="F4" s="50"/>
      <c r="G4" s="61"/>
      <c r="H4" s="68"/>
      <c r="I4" s="69"/>
      <c r="J4" s="69"/>
      <c r="K4" s="70"/>
      <c r="L4" s="65"/>
    </row>
    <row r="5">
      <c r="A5" s="57"/>
      <c r="B5" s="58"/>
      <c r="C5" s="66"/>
      <c r="D5" s="71" t="s">
        <v>42</v>
      </c>
      <c r="E5" s="50"/>
      <c r="F5" s="50"/>
      <c r="G5" s="61"/>
      <c r="H5" s="72" t="s">
        <v>43</v>
      </c>
      <c r="I5" s="47"/>
      <c r="J5" s="47"/>
      <c r="K5" s="73"/>
      <c r="L5" s="65"/>
    </row>
    <row r="6">
      <c r="A6" s="57"/>
      <c r="B6" s="58"/>
      <c r="C6" s="66"/>
      <c r="D6" s="74" t="s">
        <v>44</v>
      </c>
      <c r="E6" s="50"/>
      <c r="F6" s="50"/>
      <c r="G6" s="61"/>
      <c r="H6" s="62"/>
      <c r="I6" s="63"/>
      <c r="J6" s="63"/>
      <c r="K6" s="64"/>
      <c r="L6" s="65"/>
    </row>
    <row r="7">
      <c r="A7" s="57"/>
      <c r="B7" s="75"/>
      <c r="C7" s="75"/>
      <c r="D7" s="76"/>
      <c r="E7" s="50"/>
      <c r="F7" s="50"/>
      <c r="G7" s="61"/>
      <c r="H7" s="68"/>
      <c r="I7" s="69"/>
      <c r="J7" s="69"/>
      <c r="K7" s="70"/>
      <c r="L7" s="65"/>
    </row>
    <row r="8">
      <c r="A8" s="57"/>
      <c r="B8" s="58"/>
      <c r="C8" s="66"/>
      <c r="D8" s="77" t="s">
        <v>45</v>
      </c>
      <c r="E8" s="50"/>
      <c r="F8" s="50"/>
      <c r="G8" s="61"/>
      <c r="H8" s="72" t="s">
        <v>46</v>
      </c>
      <c r="I8" s="47"/>
      <c r="J8" s="47"/>
      <c r="K8" s="73"/>
      <c r="L8" s="65"/>
    </row>
    <row r="9">
      <c r="A9" s="57"/>
      <c r="B9" s="78"/>
      <c r="C9" s="66"/>
      <c r="D9" s="79" t="s">
        <v>47</v>
      </c>
      <c r="E9" s="50"/>
      <c r="F9" s="50"/>
      <c r="G9" s="61"/>
      <c r="H9" s="62"/>
      <c r="I9" s="63"/>
      <c r="J9" s="63"/>
      <c r="K9" s="64"/>
      <c r="L9" s="65"/>
    </row>
    <row r="10">
      <c r="A10" s="57"/>
      <c r="B10" s="78"/>
      <c r="C10" s="66"/>
      <c r="D10" s="80" t="s">
        <v>48</v>
      </c>
      <c r="E10" s="50"/>
      <c r="F10" s="50"/>
      <c r="G10" s="61"/>
      <c r="H10" s="81"/>
      <c r="I10" s="82"/>
      <c r="J10" s="82"/>
      <c r="K10" s="83"/>
      <c r="L10" s="65"/>
    </row>
    <row r="11">
      <c r="A11" s="57"/>
      <c r="B11" s="84"/>
      <c r="C11" s="85"/>
      <c r="D11" s="86"/>
      <c r="E11" s="86"/>
      <c r="F11" s="86"/>
      <c r="G11" s="86"/>
      <c r="H11" s="87"/>
      <c r="I11" s="88" t="s">
        <v>49</v>
      </c>
      <c r="J11" s="89"/>
      <c r="K11" s="89"/>
      <c r="L11" s="65"/>
    </row>
    <row r="12">
      <c r="A12" s="57"/>
      <c r="B12" s="90"/>
      <c r="C12" s="91"/>
      <c r="D12" s="91"/>
      <c r="E12" s="91"/>
      <c r="F12" s="91"/>
      <c r="G12" s="91"/>
      <c r="H12" s="91"/>
      <c r="I12" s="91"/>
      <c r="J12" s="91"/>
      <c r="K12" s="92"/>
      <c r="L12" s="65"/>
    </row>
    <row r="13">
      <c r="A13" s="57"/>
      <c r="B13" s="93"/>
      <c r="C13" s="58" t="s">
        <v>50</v>
      </c>
      <c r="D13" s="50"/>
      <c r="E13" s="58" t="s">
        <v>51</v>
      </c>
      <c r="F13" s="75"/>
      <c r="G13" s="58" t="s">
        <v>51</v>
      </c>
      <c r="H13" s="61"/>
      <c r="I13" s="47"/>
      <c r="J13" s="47"/>
      <c r="K13" s="94"/>
      <c r="L13" s="65"/>
    </row>
    <row r="14">
      <c r="A14" s="57"/>
      <c r="B14" s="95"/>
      <c r="C14" s="47"/>
      <c r="D14" s="47"/>
      <c r="E14" s="47"/>
      <c r="F14" s="47"/>
      <c r="G14" s="47"/>
      <c r="H14" s="47"/>
      <c r="I14" s="47"/>
      <c r="J14" s="47"/>
      <c r="K14" s="94"/>
      <c r="L14" s="65"/>
    </row>
    <row r="15">
      <c r="A15" s="57"/>
      <c r="B15" s="93"/>
      <c r="C15" s="58" t="s">
        <v>52</v>
      </c>
      <c r="D15" s="61"/>
      <c r="E15" s="47"/>
      <c r="F15" s="47"/>
      <c r="G15" s="47"/>
      <c r="H15" s="47"/>
      <c r="I15" s="48"/>
      <c r="J15" s="58" t="s">
        <v>53</v>
      </c>
      <c r="K15" s="96"/>
      <c r="L15" s="65"/>
    </row>
    <row r="16">
      <c r="A16" s="57"/>
      <c r="B16" s="95"/>
      <c r="C16" s="47"/>
      <c r="D16" s="47"/>
      <c r="E16" s="47"/>
      <c r="F16" s="47"/>
      <c r="G16" s="47"/>
      <c r="H16" s="47"/>
      <c r="I16" s="47"/>
      <c r="J16" s="47"/>
      <c r="K16" s="94"/>
      <c r="L16" s="65"/>
    </row>
    <row r="17">
      <c r="A17" s="57"/>
      <c r="B17" s="93"/>
      <c r="C17" s="58" t="s">
        <v>54</v>
      </c>
      <c r="D17" s="61"/>
      <c r="E17" s="47"/>
      <c r="F17" s="48"/>
      <c r="G17" s="58" t="s">
        <v>55</v>
      </c>
      <c r="H17" s="61"/>
      <c r="I17" s="48"/>
      <c r="J17" s="58" t="s">
        <v>56</v>
      </c>
      <c r="K17" s="96"/>
      <c r="L17" s="65"/>
    </row>
    <row r="18">
      <c r="A18" s="57"/>
      <c r="B18" s="95"/>
      <c r="C18" s="47"/>
      <c r="D18" s="47"/>
      <c r="E18" s="47"/>
      <c r="F18" s="47"/>
      <c r="G18" s="47"/>
      <c r="H18" s="47"/>
      <c r="I18" s="47"/>
      <c r="J18" s="47"/>
      <c r="K18" s="94"/>
      <c r="L18" s="65"/>
    </row>
    <row r="19">
      <c r="A19" s="57"/>
      <c r="B19" s="93"/>
      <c r="C19" s="58" t="s">
        <v>57</v>
      </c>
      <c r="D19" s="61"/>
      <c r="E19" s="47"/>
      <c r="F19" s="47"/>
      <c r="G19" s="47"/>
      <c r="H19" s="47"/>
      <c r="I19" s="48"/>
      <c r="J19" s="58" t="s">
        <v>58</v>
      </c>
      <c r="K19" s="96"/>
      <c r="L19" s="65"/>
    </row>
    <row r="20">
      <c r="A20" s="57"/>
      <c r="B20" s="95"/>
      <c r="C20" s="47"/>
      <c r="D20" s="47"/>
      <c r="E20" s="47"/>
      <c r="F20" s="47"/>
      <c r="G20" s="47"/>
      <c r="H20" s="47"/>
      <c r="I20" s="47"/>
      <c r="J20" s="47"/>
      <c r="K20" s="94"/>
      <c r="L20" s="65"/>
    </row>
    <row r="21">
      <c r="A21" s="57"/>
      <c r="B21" s="93"/>
      <c r="C21" s="58" t="s">
        <v>59</v>
      </c>
      <c r="D21" s="50"/>
      <c r="E21" s="61"/>
      <c r="F21" s="48"/>
      <c r="G21" s="58" t="s">
        <v>60</v>
      </c>
      <c r="H21" s="61"/>
      <c r="I21" s="48"/>
      <c r="J21" s="58" t="s">
        <v>61</v>
      </c>
      <c r="K21" s="96"/>
      <c r="L21" s="65"/>
    </row>
    <row r="22">
      <c r="A22" s="57"/>
      <c r="B22" s="95"/>
      <c r="C22" s="47"/>
      <c r="D22" s="47"/>
      <c r="E22" s="47"/>
      <c r="F22" s="47"/>
      <c r="G22" s="47"/>
      <c r="H22" s="47"/>
      <c r="I22" s="47"/>
      <c r="J22" s="47"/>
      <c r="K22" s="94"/>
      <c r="L22" s="65"/>
    </row>
    <row r="23">
      <c r="A23" s="57"/>
      <c r="B23" s="93"/>
      <c r="C23" s="58" t="s">
        <v>62</v>
      </c>
      <c r="D23" s="61"/>
      <c r="E23" s="47"/>
      <c r="F23" s="48"/>
      <c r="G23" s="58" t="s">
        <v>63</v>
      </c>
      <c r="H23" s="61"/>
      <c r="I23" s="48"/>
      <c r="J23" s="58" t="s">
        <v>64</v>
      </c>
      <c r="K23" s="96"/>
      <c r="L23" s="65"/>
    </row>
    <row r="24">
      <c r="A24" s="57"/>
      <c r="B24" s="95"/>
      <c r="C24" s="47"/>
      <c r="D24" s="47"/>
      <c r="E24" s="47"/>
      <c r="F24" s="47"/>
      <c r="G24" s="47"/>
      <c r="H24" s="47"/>
      <c r="I24" s="47"/>
      <c r="J24" s="47"/>
      <c r="K24" s="94"/>
      <c r="L24" s="65"/>
    </row>
    <row r="25">
      <c r="A25" s="57"/>
      <c r="B25" s="93"/>
      <c r="C25" s="58" t="s">
        <v>65</v>
      </c>
      <c r="D25" s="61"/>
      <c r="E25" s="47"/>
      <c r="F25" s="47"/>
      <c r="G25" s="47"/>
      <c r="H25" s="47"/>
      <c r="I25" s="47"/>
      <c r="J25" s="47"/>
      <c r="K25" s="94"/>
      <c r="L25" s="65"/>
    </row>
    <row r="26">
      <c r="A26" s="57"/>
      <c r="B26" s="97"/>
      <c r="C26" s="98"/>
      <c r="D26" s="98"/>
      <c r="E26" s="98"/>
      <c r="F26" s="98"/>
      <c r="G26" s="98"/>
      <c r="H26" s="98"/>
      <c r="I26" s="98"/>
      <c r="J26" s="98"/>
      <c r="K26" s="99"/>
      <c r="L26" s="65"/>
    </row>
    <row r="27">
      <c r="A27" s="57"/>
      <c r="B27" s="100" t="s">
        <v>66</v>
      </c>
      <c r="C27" s="63"/>
      <c r="D27" s="101"/>
      <c r="E27" s="100" t="s">
        <v>67</v>
      </c>
      <c r="F27" s="63"/>
      <c r="G27" s="63"/>
      <c r="H27" s="63"/>
      <c r="I27" s="63"/>
      <c r="J27" s="63"/>
      <c r="K27" s="101"/>
      <c r="L27" s="65"/>
    </row>
    <row r="28">
      <c r="A28" s="57"/>
      <c r="B28" s="102"/>
      <c r="D28" s="65"/>
      <c r="E28" s="102"/>
      <c r="K28" s="65"/>
      <c r="L28" s="65"/>
    </row>
    <row r="29">
      <c r="A29" s="57"/>
      <c r="B29" s="102"/>
      <c r="D29" s="65"/>
      <c r="E29" s="102"/>
      <c r="K29" s="65"/>
      <c r="L29" s="65"/>
    </row>
    <row r="30">
      <c r="A30" s="57"/>
      <c r="B30" s="103"/>
      <c r="C30" s="69"/>
      <c r="D30" s="104"/>
      <c r="E30" s="103"/>
      <c r="F30" s="69"/>
      <c r="G30" s="69"/>
      <c r="H30" s="69"/>
      <c r="I30" s="69"/>
      <c r="J30" s="69"/>
      <c r="K30" s="104"/>
      <c r="L30" s="65"/>
    </row>
    <row r="31">
      <c r="A31" s="57"/>
      <c r="B31" s="105" t="s">
        <v>2</v>
      </c>
      <c r="C31" s="106"/>
      <c r="D31" s="107" t="s">
        <v>68</v>
      </c>
      <c r="E31" s="108"/>
      <c r="F31" s="108"/>
      <c r="G31" s="108"/>
      <c r="H31" s="106"/>
      <c r="I31" s="109" t="s">
        <v>69</v>
      </c>
      <c r="J31" s="108"/>
      <c r="K31" s="110"/>
      <c r="L31" s="65"/>
    </row>
    <row r="32">
      <c r="A32" s="57"/>
      <c r="B32" s="111">
        <v>5.0</v>
      </c>
      <c r="C32" s="112"/>
      <c r="D32" s="111" t="s">
        <v>70</v>
      </c>
      <c r="E32" s="113"/>
      <c r="F32" s="113"/>
      <c r="G32" s="113"/>
      <c r="H32" s="112"/>
      <c r="I32" s="114">
        <v>35000.0</v>
      </c>
      <c r="J32" s="115">
        <f t="shared" ref="J32:J47" si="1">(I32*$J$52)</f>
        <v>6650</v>
      </c>
      <c r="K32" s="116">
        <f t="shared" ref="K32:K47" si="2">((I32+J32)*B32)</f>
        <v>208250</v>
      </c>
      <c r="L32" s="65"/>
    </row>
    <row r="33">
      <c r="A33" s="57"/>
      <c r="B33" s="117">
        <v>8.0</v>
      </c>
      <c r="C33" s="118"/>
      <c r="D33" s="117" t="s">
        <v>71</v>
      </c>
      <c r="E33" s="113"/>
      <c r="F33" s="113"/>
      <c r="G33" s="113"/>
      <c r="H33" s="118"/>
      <c r="I33" s="119">
        <v>15000.0</v>
      </c>
      <c r="J33" s="120">
        <f t="shared" si="1"/>
        <v>2850</v>
      </c>
      <c r="K33" s="121">
        <f t="shared" si="2"/>
        <v>142800</v>
      </c>
      <c r="L33" s="65"/>
    </row>
    <row r="34">
      <c r="A34" s="57"/>
      <c r="B34" s="122">
        <v>4.0</v>
      </c>
      <c r="C34" s="123"/>
      <c r="D34" s="122" t="s">
        <v>72</v>
      </c>
      <c r="E34" s="124"/>
      <c r="F34" s="124"/>
      <c r="G34" s="124"/>
      <c r="H34" s="123"/>
      <c r="I34" s="120">
        <v>20000.0</v>
      </c>
      <c r="J34" s="125">
        <f t="shared" si="1"/>
        <v>3800</v>
      </c>
      <c r="K34" s="121">
        <f t="shared" si="2"/>
        <v>95200</v>
      </c>
      <c r="L34" s="65"/>
    </row>
    <row r="35">
      <c r="A35" s="57"/>
      <c r="B35" s="122">
        <v>1.0</v>
      </c>
      <c r="C35" s="123"/>
      <c r="D35" s="122" t="s">
        <v>73</v>
      </c>
      <c r="E35" s="124"/>
      <c r="F35" s="124"/>
      <c r="G35" s="124"/>
      <c r="H35" s="123"/>
      <c r="I35" s="120">
        <v>300000.0</v>
      </c>
      <c r="J35" s="125">
        <f t="shared" si="1"/>
        <v>57000</v>
      </c>
      <c r="K35" s="121">
        <f t="shared" si="2"/>
        <v>357000</v>
      </c>
      <c r="L35" s="65"/>
    </row>
    <row r="36">
      <c r="A36" s="57"/>
      <c r="B36" s="122">
        <v>0.0</v>
      </c>
      <c r="C36" s="123"/>
      <c r="D36" s="126"/>
      <c r="E36" s="124"/>
      <c r="F36" s="124"/>
      <c r="G36" s="124"/>
      <c r="H36" s="123"/>
      <c r="I36" s="120">
        <v>0.0</v>
      </c>
      <c r="J36" s="125">
        <f t="shared" si="1"/>
        <v>0</v>
      </c>
      <c r="K36" s="121">
        <f t="shared" si="2"/>
        <v>0</v>
      </c>
      <c r="L36" s="65"/>
    </row>
    <row r="37">
      <c r="A37" s="57"/>
      <c r="B37" s="122">
        <v>0.0</v>
      </c>
      <c r="C37" s="123"/>
      <c r="D37" s="126"/>
      <c r="E37" s="124"/>
      <c r="F37" s="124"/>
      <c r="G37" s="124"/>
      <c r="H37" s="123"/>
      <c r="I37" s="120">
        <v>0.0</v>
      </c>
      <c r="J37" s="125">
        <f t="shared" si="1"/>
        <v>0</v>
      </c>
      <c r="K37" s="121">
        <f t="shared" si="2"/>
        <v>0</v>
      </c>
      <c r="L37" s="65"/>
    </row>
    <row r="38">
      <c r="A38" s="57"/>
      <c r="B38" s="122">
        <v>0.0</v>
      </c>
      <c r="C38" s="123"/>
      <c r="D38" s="126"/>
      <c r="E38" s="124"/>
      <c r="F38" s="124"/>
      <c r="G38" s="124"/>
      <c r="H38" s="123"/>
      <c r="I38" s="120">
        <v>0.0</v>
      </c>
      <c r="J38" s="125">
        <f t="shared" si="1"/>
        <v>0</v>
      </c>
      <c r="K38" s="121">
        <f t="shared" si="2"/>
        <v>0</v>
      </c>
      <c r="L38" s="65"/>
    </row>
    <row r="39">
      <c r="A39" s="57"/>
      <c r="B39" s="122">
        <v>0.0</v>
      </c>
      <c r="C39" s="123"/>
      <c r="D39" s="126"/>
      <c r="E39" s="124"/>
      <c r="F39" s="124"/>
      <c r="G39" s="124"/>
      <c r="H39" s="123"/>
      <c r="I39" s="120">
        <v>0.0</v>
      </c>
      <c r="J39" s="125">
        <f t="shared" si="1"/>
        <v>0</v>
      </c>
      <c r="K39" s="121">
        <f t="shared" si="2"/>
        <v>0</v>
      </c>
      <c r="L39" s="65"/>
    </row>
    <row r="40">
      <c r="A40" s="57"/>
      <c r="B40" s="122">
        <v>0.0</v>
      </c>
      <c r="C40" s="123"/>
      <c r="D40" s="126"/>
      <c r="E40" s="124"/>
      <c r="F40" s="124"/>
      <c r="G40" s="124"/>
      <c r="H40" s="123"/>
      <c r="I40" s="120">
        <v>0.0</v>
      </c>
      <c r="J40" s="125">
        <f t="shared" si="1"/>
        <v>0</v>
      </c>
      <c r="K40" s="121">
        <f t="shared" si="2"/>
        <v>0</v>
      </c>
      <c r="L40" s="65"/>
    </row>
    <row r="41">
      <c r="A41" s="57"/>
      <c r="B41" s="122">
        <v>0.0</v>
      </c>
      <c r="C41" s="123"/>
      <c r="D41" s="126"/>
      <c r="E41" s="124"/>
      <c r="F41" s="124"/>
      <c r="G41" s="124"/>
      <c r="H41" s="123"/>
      <c r="I41" s="120">
        <v>0.0</v>
      </c>
      <c r="J41" s="125">
        <f t="shared" si="1"/>
        <v>0</v>
      </c>
      <c r="K41" s="121">
        <f t="shared" si="2"/>
        <v>0</v>
      </c>
      <c r="L41" s="65"/>
    </row>
    <row r="42">
      <c r="A42" s="57"/>
      <c r="B42" s="122">
        <v>0.0</v>
      </c>
      <c r="C42" s="123"/>
      <c r="D42" s="126"/>
      <c r="E42" s="124"/>
      <c r="F42" s="124"/>
      <c r="G42" s="124"/>
      <c r="H42" s="123"/>
      <c r="I42" s="120">
        <v>0.0</v>
      </c>
      <c r="J42" s="125">
        <f t="shared" si="1"/>
        <v>0</v>
      </c>
      <c r="K42" s="121">
        <f t="shared" si="2"/>
        <v>0</v>
      </c>
      <c r="L42" s="65"/>
    </row>
    <row r="43">
      <c r="A43" s="57"/>
      <c r="B43" s="122">
        <v>0.0</v>
      </c>
      <c r="C43" s="123"/>
      <c r="D43" s="126"/>
      <c r="E43" s="124"/>
      <c r="F43" s="124"/>
      <c r="G43" s="124"/>
      <c r="H43" s="123"/>
      <c r="I43" s="120">
        <v>0.0</v>
      </c>
      <c r="J43" s="125">
        <f t="shared" si="1"/>
        <v>0</v>
      </c>
      <c r="K43" s="121">
        <f t="shared" si="2"/>
        <v>0</v>
      </c>
      <c r="L43" s="65"/>
    </row>
    <row r="44">
      <c r="A44" s="57"/>
      <c r="B44" s="122">
        <v>0.0</v>
      </c>
      <c r="C44" s="123"/>
      <c r="D44" s="126"/>
      <c r="E44" s="124"/>
      <c r="F44" s="124"/>
      <c r="G44" s="124"/>
      <c r="H44" s="123"/>
      <c r="I44" s="120">
        <v>0.0</v>
      </c>
      <c r="J44" s="125">
        <f t="shared" si="1"/>
        <v>0</v>
      </c>
      <c r="K44" s="121">
        <f t="shared" si="2"/>
        <v>0</v>
      </c>
      <c r="L44" s="65"/>
    </row>
    <row r="45">
      <c r="A45" s="57"/>
      <c r="B45" s="122">
        <v>0.0</v>
      </c>
      <c r="C45" s="123"/>
      <c r="D45" s="126"/>
      <c r="E45" s="124"/>
      <c r="F45" s="124"/>
      <c r="G45" s="124"/>
      <c r="H45" s="123"/>
      <c r="I45" s="120">
        <v>0.0</v>
      </c>
      <c r="J45" s="125">
        <f t="shared" si="1"/>
        <v>0</v>
      </c>
      <c r="K45" s="121">
        <f t="shared" si="2"/>
        <v>0</v>
      </c>
      <c r="L45" s="65"/>
    </row>
    <row r="46">
      <c r="A46" s="57"/>
      <c r="B46" s="122">
        <v>0.0</v>
      </c>
      <c r="C46" s="123"/>
      <c r="D46" s="126"/>
      <c r="E46" s="124"/>
      <c r="F46" s="124"/>
      <c r="G46" s="124"/>
      <c r="H46" s="123"/>
      <c r="I46" s="120">
        <v>0.0</v>
      </c>
      <c r="J46" s="125">
        <f t="shared" si="1"/>
        <v>0</v>
      </c>
      <c r="K46" s="121">
        <f t="shared" si="2"/>
        <v>0</v>
      </c>
      <c r="L46" s="65"/>
    </row>
    <row r="47">
      <c r="A47" s="57"/>
      <c r="B47" s="127">
        <v>0.0</v>
      </c>
      <c r="C47" s="128"/>
      <c r="D47" s="129"/>
      <c r="E47" s="130"/>
      <c r="F47" s="130"/>
      <c r="G47" s="130"/>
      <c r="H47" s="128"/>
      <c r="I47" s="131">
        <v>0.0</v>
      </c>
      <c r="J47" s="132">
        <f t="shared" si="1"/>
        <v>0</v>
      </c>
      <c r="K47" s="133">
        <f t="shared" si="2"/>
        <v>0</v>
      </c>
      <c r="L47" s="65"/>
    </row>
    <row r="48">
      <c r="A48" s="57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65"/>
    </row>
    <row r="49">
      <c r="A49" s="57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65"/>
    </row>
    <row r="50" ht="25.5" customHeight="1">
      <c r="A50" s="57"/>
      <c r="B50" s="84"/>
      <c r="C50" s="135"/>
      <c r="D50" s="86"/>
      <c r="E50" s="84" t="s">
        <v>74</v>
      </c>
      <c r="F50" s="86"/>
      <c r="G50" s="86"/>
      <c r="H50" s="86"/>
      <c r="I50" s="86"/>
      <c r="J50" s="86"/>
      <c r="K50" s="86"/>
      <c r="L50" s="65"/>
    </row>
    <row r="51">
      <c r="A51" s="57"/>
      <c r="B51" s="136" t="s">
        <v>75</v>
      </c>
      <c r="C51" s="137"/>
      <c r="D51" s="138"/>
      <c r="E51" s="139"/>
      <c r="F51" s="140"/>
      <c r="G51" s="141"/>
      <c r="H51" s="138"/>
      <c r="I51" s="142" t="s">
        <v>76</v>
      </c>
      <c r="J51" s="143">
        <f>SUM((B32*I32)+(B33*I33)+(B34*I34)+(B35*I35)+(B36*I36)+(B37*I37)+(B38*I38)+(B39*I39)+(B40*I40)+(B41*I41)+(B42*I42)+(B43*I43)+(B44*I44)+(B45*I45)+(B46*I46)+(B47*I47))</f>
        <v>675000</v>
      </c>
      <c r="K51" s="144"/>
      <c r="L51" s="65"/>
    </row>
    <row r="52">
      <c r="A52" s="57"/>
      <c r="B52" s="145" t="s">
        <v>77</v>
      </c>
      <c r="C52" s="146"/>
      <c r="D52" s="63"/>
      <c r="E52" s="101"/>
      <c r="F52" s="147" t="s">
        <v>78</v>
      </c>
      <c r="G52" s="148"/>
      <c r="H52" s="101"/>
      <c r="I52" s="149" t="s">
        <v>79</v>
      </c>
      <c r="J52" s="150">
        <v>0.19</v>
      </c>
      <c r="K52" s="151"/>
      <c r="L52" s="65"/>
    </row>
    <row r="53">
      <c r="A53" s="57"/>
      <c r="B53" s="152"/>
      <c r="C53" s="153"/>
      <c r="D53" s="154"/>
      <c r="E53" s="154"/>
      <c r="F53" s="153"/>
      <c r="G53" s="154"/>
      <c r="H53" s="155"/>
      <c r="I53" s="156" t="s">
        <v>6</v>
      </c>
      <c r="J53" s="157">
        <f>SUM(K32:K47)</f>
        <v>803250</v>
      </c>
      <c r="K53" s="158"/>
      <c r="L53" s="65"/>
    </row>
    <row r="54">
      <c r="A54" s="57"/>
      <c r="B54" s="159"/>
      <c r="C54" s="160"/>
      <c r="D54" s="89"/>
      <c r="E54" s="89"/>
      <c r="F54" s="89"/>
      <c r="G54" s="89"/>
      <c r="H54" s="89"/>
      <c r="I54" s="89"/>
      <c r="J54" s="89"/>
      <c r="K54" s="89"/>
      <c r="L54" s="65"/>
    </row>
    <row r="55">
      <c r="A55" s="139"/>
      <c r="B55" s="161" t="s">
        <v>80</v>
      </c>
      <c r="C55" s="162"/>
      <c r="D55" s="163"/>
      <c r="E55" s="164" t="s">
        <v>50</v>
      </c>
      <c r="F55" s="165"/>
      <c r="G55" s="164" t="s">
        <v>51</v>
      </c>
      <c r="H55" s="166"/>
      <c r="I55" s="163"/>
      <c r="J55" s="167" t="s">
        <v>81</v>
      </c>
      <c r="K55" s="168"/>
      <c r="L55" s="104"/>
    </row>
    <row r="56">
      <c r="A56" s="169"/>
    </row>
  </sheetData>
  <mergeCells count="76">
    <mergeCell ref="H8:K8"/>
    <mergeCell ref="H9:K10"/>
    <mergeCell ref="B12:K12"/>
    <mergeCell ref="H13:K13"/>
    <mergeCell ref="B14:K14"/>
    <mergeCell ref="D15:I15"/>
    <mergeCell ref="B16:K16"/>
    <mergeCell ref="D17:F17"/>
    <mergeCell ref="H17:I17"/>
    <mergeCell ref="B18:K18"/>
    <mergeCell ref="D19:I19"/>
    <mergeCell ref="B20:K20"/>
    <mergeCell ref="E21:F21"/>
    <mergeCell ref="H21:I21"/>
    <mergeCell ref="B22:K22"/>
    <mergeCell ref="D23:F23"/>
    <mergeCell ref="H23:I23"/>
    <mergeCell ref="B24:K24"/>
    <mergeCell ref="D25:K25"/>
    <mergeCell ref="B31:C31"/>
    <mergeCell ref="D31:H31"/>
    <mergeCell ref="I31:K31"/>
    <mergeCell ref="B32:C32"/>
    <mergeCell ref="D32:H32"/>
    <mergeCell ref="B33:C33"/>
    <mergeCell ref="D33:H33"/>
    <mergeCell ref="B34:C34"/>
    <mergeCell ref="D34:H34"/>
    <mergeCell ref="B35:C35"/>
    <mergeCell ref="D35:H35"/>
    <mergeCell ref="B36:C36"/>
    <mergeCell ref="D36:H36"/>
    <mergeCell ref="B37:C37"/>
    <mergeCell ref="D37:H37"/>
    <mergeCell ref="B38:C38"/>
    <mergeCell ref="D38:H38"/>
    <mergeCell ref="B39:C39"/>
    <mergeCell ref="D39:H39"/>
    <mergeCell ref="B40:C40"/>
    <mergeCell ref="D40:H40"/>
    <mergeCell ref="B41:C41"/>
    <mergeCell ref="D41:H41"/>
    <mergeCell ref="B42:C42"/>
    <mergeCell ref="D42:H42"/>
    <mergeCell ref="B43:C43"/>
    <mergeCell ref="D43:H43"/>
    <mergeCell ref="B26:K26"/>
    <mergeCell ref="B27:D30"/>
    <mergeCell ref="E27:K30"/>
    <mergeCell ref="J52:K52"/>
    <mergeCell ref="J53:K53"/>
    <mergeCell ref="B55:D55"/>
    <mergeCell ref="H55:I55"/>
    <mergeCell ref="J55:K55"/>
    <mergeCell ref="A56:L56"/>
    <mergeCell ref="A1:L1"/>
    <mergeCell ref="A2:A55"/>
    <mergeCell ref="H2:K2"/>
    <mergeCell ref="L2:L55"/>
    <mergeCell ref="H3:K4"/>
    <mergeCell ref="H5:K5"/>
    <mergeCell ref="H6:K7"/>
    <mergeCell ref="B44:C44"/>
    <mergeCell ref="D44:H44"/>
    <mergeCell ref="B45:C45"/>
    <mergeCell ref="D45:H45"/>
    <mergeCell ref="B46:C46"/>
    <mergeCell ref="D46:H46"/>
    <mergeCell ref="B47:C47"/>
    <mergeCell ref="D47:H47"/>
    <mergeCell ref="E50:E51"/>
    <mergeCell ref="C51:D51"/>
    <mergeCell ref="F51:H51"/>
    <mergeCell ref="J51:K51"/>
    <mergeCell ref="C52:E52"/>
    <mergeCell ref="G52:H52"/>
  </mergeCells>
  <hyperlinks>
    <hyperlink r:id="rId1" ref="D10"/>
  </hyperlinks>
  <drawing r:id="rId2"/>
</worksheet>
</file>